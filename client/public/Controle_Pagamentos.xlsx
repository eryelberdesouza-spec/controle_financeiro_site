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" sheetId="1" state="visible" r:id="rId1"/>
    <sheet xmlns:r="http://schemas.openxmlformats.org/officeDocument/2006/relationships" name="Relató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dd/mm/yyyy"/>
  </numFmts>
  <fonts count="10">
    <font>
      <name val="Calibri"/>
      <family val="2"/>
      <color theme="1"/>
      <sz val="11"/>
      <scheme val="minor"/>
    </font>
    <font>
      <name val="Calibri"/>
      <i val="1"/>
      <color rgb="00999999"/>
      <sz val="9"/>
    </font>
    <font>
      <name val="Calibri"/>
      <b val="1"/>
      <color rgb="001F4E78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0" borderId="1" pivotButton="0" quotePrefix="0" xfId="0"/>
    <xf numFmtId="0" fontId="8" fillId="0" borderId="1" pivotButton="0" quotePrefix="0" xfId="0"/>
    <xf numFmtId="0" fontId="9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2" customWidth="1" min="4" max="4"/>
    <col width="20" customWidth="1" min="5" max="5"/>
    <col width="15" customWidth="1" min="6" max="6"/>
    <col width="15" customWidth="1" min="7" max="7"/>
    <col width="18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[INSIRA O LOGO AQUI]</t>
        </is>
      </c>
      <c r="C1" s="2" t="inlineStr">
        <is>
          <t>CONTROLE DE PAGAMENTOS</t>
        </is>
      </c>
    </row>
    <row r="2">
      <c r="C2" s="3" t="inlineStr">
        <is>
          <t>Atualizado em: 01/03/2026</t>
        </is>
      </c>
    </row>
    <row r="3"/>
    <row r="5" ht="25" customHeight="1">
      <c r="A5" s="4" t="inlineStr"/>
      <c r="B5" s="4" t="inlineStr">
        <is>
          <t>Nome Completo</t>
        </is>
      </c>
      <c r="C5" s="4" t="inlineStr">
        <is>
          <t>CPF</t>
        </is>
      </c>
      <c r="D5" s="4" t="inlineStr">
        <is>
          <t>Banco</t>
        </is>
      </c>
      <c r="E5" s="4" t="inlineStr">
        <is>
          <t>Chave Pix</t>
        </is>
      </c>
      <c r="F5" s="4" t="inlineStr">
        <is>
          <t>Tipo de Serviço</t>
        </is>
      </c>
      <c r="G5" s="4" t="inlineStr">
        <is>
          <t>Centro de Custo</t>
        </is>
      </c>
      <c r="H5" s="4" t="inlineStr">
        <is>
          <t>Valor (R$)</t>
        </is>
      </c>
      <c r="I5" s="4" t="inlineStr">
        <is>
          <t>Data Pagamento</t>
        </is>
      </c>
      <c r="J5" s="4" t="inlineStr">
        <is>
          <t>Status</t>
        </is>
      </c>
      <c r="K5" s="4" t="inlineStr">
        <is>
          <t>Observações</t>
        </is>
      </c>
      <c r="L5" s="15" t="inlineStr">
        <is>
          <t>Dias até Pgto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6" t="n"/>
      <c r="I6" s="7" t="n"/>
      <c r="J6" s="8" t="n"/>
      <c r="K6" s="5" t="n"/>
      <c r="L6" s="16">
        <f>IF(I6="","",I6-TODAY())</f>
        <v/>
      </c>
    </row>
    <row r="7">
      <c r="A7" s="5" t="n"/>
      <c r="B7" s="5" t="n"/>
      <c r="C7" s="5" t="n"/>
      <c r="D7" s="5" t="n"/>
      <c r="E7" s="5" t="n"/>
      <c r="F7" s="5" t="n"/>
      <c r="G7" s="5" t="n"/>
      <c r="H7" s="6" t="n"/>
      <c r="I7" s="7" t="n"/>
      <c r="J7" s="8" t="n"/>
      <c r="K7" s="5" t="n"/>
      <c r="L7" s="16">
        <f>IF(I7="","",I7-TODAY())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6" t="n"/>
      <c r="I8" s="7" t="n"/>
      <c r="J8" s="8" t="n"/>
      <c r="K8" s="5" t="n"/>
      <c r="L8" s="16">
        <f>IF(I8="","",I8-TODAY())</f>
        <v/>
      </c>
    </row>
    <row r="9">
      <c r="A9" s="5" t="n"/>
      <c r="B9" s="5" t="n"/>
      <c r="C9" s="5" t="n"/>
      <c r="D9" s="5" t="n"/>
      <c r="E9" s="5" t="n"/>
      <c r="F9" s="5" t="n"/>
      <c r="G9" s="5" t="n"/>
      <c r="H9" s="6" t="n"/>
      <c r="I9" s="7" t="n"/>
      <c r="J9" s="8" t="n"/>
      <c r="K9" s="5" t="n"/>
      <c r="L9" s="16">
        <f>IF(I9="","",I9-TODAY())</f>
        <v/>
      </c>
    </row>
    <row r="10">
      <c r="A10" s="5" t="n"/>
      <c r="B10" s="5" t="n"/>
      <c r="C10" s="5" t="n"/>
      <c r="D10" s="5" t="n"/>
      <c r="E10" s="5" t="n"/>
      <c r="F10" s="5" t="n"/>
      <c r="G10" s="5" t="n"/>
      <c r="H10" s="6" t="n"/>
      <c r="I10" s="7" t="n"/>
      <c r="J10" s="8" t="n"/>
      <c r="K10" s="5" t="n"/>
      <c r="L10" s="16">
        <f>IF(I10="","",I10-TODAY())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6" t="n"/>
      <c r="I11" s="7" t="n"/>
      <c r="J11" s="8" t="n"/>
      <c r="K11" s="5" t="n"/>
      <c r="L11" s="16">
        <f>IF(I11="","",I11-TODAY())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6" t="n"/>
      <c r="I12" s="7" t="n"/>
      <c r="J12" s="8" t="n"/>
      <c r="K12" s="5" t="n"/>
      <c r="L12" s="16">
        <f>IF(I12="","",I12-TODAY())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6" t="n"/>
      <c r="I13" s="7" t="n"/>
      <c r="J13" s="8" t="n"/>
      <c r="K13" s="5" t="n"/>
      <c r="L13" s="16">
        <f>IF(I13="","",I13-TODAY())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6" t="n"/>
      <c r="I14" s="7" t="n"/>
      <c r="J14" s="8" t="n"/>
      <c r="K14" s="5" t="n"/>
      <c r="L14" s="16">
        <f>IF(I14="","",I14-TODAY())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6" t="n"/>
      <c r="I15" s="7" t="n"/>
      <c r="J15" s="8" t="n"/>
      <c r="K15" s="5" t="n"/>
      <c r="L15" s="16">
        <f>IF(I15="","",I15-TODAY())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6" t="n"/>
      <c r="I16" s="7" t="n"/>
      <c r="J16" s="8" t="n"/>
      <c r="K16" s="5" t="n"/>
      <c r="L16" s="16">
        <f>IF(I16="","",I16-TODAY())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6" t="n"/>
      <c r="I17" s="7" t="n"/>
      <c r="J17" s="8" t="n"/>
      <c r="K17" s="5" t="n"/>
      <c r="L17" s="16">
        <f>IF(I17="","",I17-TODAY())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6" t="n"/>
      <c r="I18" s="7" t="n"/>
      <c r="J18" s="8" t="n"/>
      <c r="K18" s="5" t="n"/>
      <c r="L18" s="16">
        <f>IF(I18="","",I18-TODAY())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6" t="n"/>
      <c r="I19" s="7" t="n"/>
      <c r="J19" s="8" t="n"/>
      <c r="K19" s="5" t="n"/>
      <c r="L19" s="16">
        <f>IF(I19="","",I19-TODAY())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6" t="n"/>
      <c r="I20" s="7" t="n"/>
      <c r="J20" s="8" t="n"/>
      <c r="K20" s="5" t="n"/>
      <c r="L20" s="16">
        <f>IF(I20="","",I20-TODAY())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 s="6" t="n"/>
      <c r="I21" s="7" t="n"/>
      <c r="J21" s="8" t="n"/>
      <c r="K21" s="5" t="n"/>
      <c r="L21" s="16">
        <f>IF(I21="","",I21-TODAY())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 s="6" t="n"/>
      <c r="I22" s="7" t="n"/>
      <c r="J22" s="8" t="n"/>
      <c r="K22" s="5" t="n"/>
      <c r="L22" s="16">
        <f>IF(I22="","",I22-TODAY())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 s="6" t="n"/>
      <c r="I23" s="7" t="n"/>
      <c r="J23" s="8" t="n"/>
      <c r="K23" s="5" t="n"/>
      <c r="L23" s="16">
        <f>IF(I23="","",I23-TODAY())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 s="6" t="n"/>
      <c r="I24" s="7" t="n"/>
      <c r="J24" s="8" t="n"/>
      <c r="K24" s="5" t="n"/>
      <c r="L24" s="16">
        <f>IF(I24="","",I24-TODAY())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 s="6" t="n"/>
      <c r="I25" s="7" t="n"/>
      <c r="J25" s="8" t="n"/>
      <c r="K25" s="5" t="n"/>
      <c r="L25" s="16">
        <f>IF(I25="","",I25-TODAY())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 s="6" t="n"/>
      <c r="I26" s="7" t="n"/>
      <c r="J26" s="8" t="n"/>
      <c r="K26" s="5" t="n"/>
      <c r="L26" s="16">
        <f>IF(I26="","",I26-TODAY())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6" t="n"/>
      <c r="I27" s="7" t="n"/>
      <c r="J27" s="8" t="n"/>
      <c r="K27" s="5" t="n"/>
      <c r="L27" s="16">
        <f>IF(I27="","",I27-TODAY())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6" t="n"/>
      <c r="I28" s="7" t="n"/>
      <c r="J28" s="8" t="n"/>
      <c r="K28" s="5" t="n"/>
      <c r="L28" s="16">
        <f>IF(I28="","",I28-TODAY())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6" t="n"/>
      <c r="I29" s="7" t="n"/>
      <c r="J29" s="8" t="n"/>
      <c r="K29" s="5" t="n"/>
      <c r="L29" s="16">
        <f>IF(I29="","",I29-TODAY())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6" t="n"/>
      <c r="I30" s="7" t="n"/>
      <c r="J30" s="8" t="n"/>
      <c r="K30" s="5" t="n"/>
      <c r="L30" s="16">
        <f>IF(I30="","",I30-TODAY())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6" t="n"/>
      <c r="I31" s="7" t="n"/>
      <c r="J31" s="8" t="n"/>
      <c r="K31" s="5" t="n"/>
      <c r="L31" s="16">
        <f>IF(I31="","",I31-TODAY())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6" t="n"/>
      <c r="I32" s="7" t="n"/>
      <c r="J32" s="8" t="n"/>
      <c r="K32" s="5" t="n"/>
      <c r="L32" s="16">
        <f>IF(I32="","",I32-TODAY())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6" t="n"/>
      <c r="I33" s="7" t="n"/>
      <c r="J33" s="8" t="n"/>
      <c r="K33" s="5" t="n"/>
      <c r="L33" s="16">
        <f>IF(I33="","",I33-TODAY())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6" t="n"/>
      <c r="I34" s="7" t="n"/>
      <c r="J34" s="8" t="n"/>
      <c r="K34" s="5" t="n"/>
      <c r="L34" s="16">
        <f>IF(I34="","",I34-TODAY())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6" t="n"/>
      <c r="I35" s="7" t="n"/>
      <c r="J35" s="8" t="n"/>
      <c r="K35" s="5" t="n"/>
      <c r="L35" s="16">
        <f>IF(I35="","",I35-TODAY())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6" t="n"/>
      <c r="I36" s="7" t="n"/>
      <c r="J36" s="8" t="n"/>
      <c r="K36" s="5" t="n"/>
      <c r="L36" s="16">
        <f>IF(I36="","",I36-TODAY())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6" t="n"/>
      <c r="I37" s="7" t="n"/>
      <c r="J37" s="8" t="n"/>
      <c r="K37" s="5" t="n"/>
      <c r="L37" s="16">
        <f>IF(I37="","",I37-TODAY())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6" t="n"/>
      <c r="I38" s="7" t="n"/>
      <c r="J38" s="8" t="n"/>
      <c r="K38" s="5" t="n"/>
      <c r="L38" s="16">
        <f>IF(I38="","",I38-TODAY())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6" t="n"/>
      <c r="I39" s="7" t="n"/>
      <c r="J39" s="8" t="n"/>
      <c r="K39" s="5" t="n"/>
      <c r="L39" s="16">
        <f>IF(I39="","",I39-TODAY())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6" t="n"/>
      <c r="I40" s="7" t="n"/>
      <c r="J40" s="8" t="n"/>
      <c r="K40" s="5" t="n"/>
      <c r="L40" s="16">
        <f>IF(I40="","",I40-TODAY())</f>
        <v/>
      </c>
    </row>
    <row r="41">
      <c r="A41" s="5" t="n"/>
      <c r="B41" s="5" t="n"/>
      <c r="C41" s="5" t="n"/>
      <c r="D41" s="5" t="n"/>
      <c r="E41" s="5" t="n"/>
      <c r="F41" s="5" t="n"/>
      <c r="G41" s="5" t="n"/>
      <c r="H41" s="6" t="n"/>
      <c r="I41" s="7" t="n"/>
      <c r="J41" s="8" t="n"/>
      <c r="K41" s="5" t="n"/>
      <c r="L41" s="16">
        <f>IF(I41="","",I41-TODAY())</f>
        <v/>
      </c>
    </row>
    <row r="42">
      <c r="A42" s="5" t="n"/>
      <c r="B42" s="5" t="n"/>
      <c r="C42" s="5" t="n"/>
      <c r="D42" s="5" t="n"/>
      <c r="E42" s="5" t="n"/>
      <c r="F42" s="5" t="n"/>
      <c r="G42" s="5" t="n"/>
      <c r="H42" s="6" t="n"/>
      <c r="I42" s="7" t="n"/>
      <c r="J42" s="8" t="n"/>
      <c r="K42" s="5" t="n"/>
      <c r="L42" s="16">
        <f>IF(I42="","",I42-TODAY())</f>
        <v/>
      </c>
    </row>
    <row r="43">
      <c r="A43" s="5" t="n"/>
      <c r="B43" s="5" t="n"/>
      <c r="C43" s="5" t="n"/>
      <c r="D43" s="5" t="n"/>
      <c r="E43" s="5" t="n"/>
      <c r="F43" s="5" t="n"/>
      <c r="G43" s="5" t="n"/>
      <c r="H43" s="6" t="n"/>
      <c r="I43" s="7" t="n"/>
      <c r="J43" s="8" t="n"/>
      <c r="K43" s="5" t="n"/>
      <c r="L43" s="16">
        <f>IF(I43="","",I43-TODAY())</f>
        <v/>
      </c>
    </row>
    <row r="44">
      <c r="A44" s="5" t="n"/>
      <c r="B44" s="5" t="n"/>
      <c r="C44" s="5" t="n"/>
      <c r="D44" s="5" t="n"/>
      <c r="E44" s="5" t="n"/>
      <c r="F44" s="5" t="n"/>
      <c r="G44" s="5" t="n"/>
      <c r="H44" s="6" t="n"/>
      <c r="I44" s="7" t="n"/>
      <c r="J44" s="8" t="n"/>
      <c r="K44" s="5" t="n"/>
      <c r="L44" s="16">
        <f>IF(I44="","",I44-TODAY())</f>
        <v/>
      </c>
    </row>
    <row r="45">
      <c r="A45" s="5" t="n"/>
      <c r="B45" s="5" t="n"/>
      <c r="C45" s="5" t="n"/>
      <c r="D45" s="5" t="n"/>
      <c r="E45" s="5" t="n"/>
      <c r="F45" s="5" t="n"/>
      <c r="G45" s="5" t="n"/>
      <c r="H45" s="6" t="n"/>
      <c r="I45" s="7" t="n"/>
      <c r="J45" s="8" t="n"/>
      <c r="K45" s="5" t="n"/>
      <c r="L45" s="16">
        <f>IF(I45="","",I45-TODAY())</f>
        <v/>
      </c>
    </row>
    <row r="46">
      <c r="A46" s="5" t="n"/>
      <c r="B46" s="5" t="n"/>
      <c r="C46" s="5" t="n"/>
      <c r="D46" s="5" t="n"/>
      <c r="E46" s="5" t="n"/>
      <c r="F46" s="5" t="n"/>
      <c r="G46" s="5" t="n"/>
      <c r="H46" s="6" t="n"/>
      <c r="I46" s="7" t="n"/>
      <c r="J46" s="8" t="n"/>
      <c r="K46" s="5" t="n"/>
      <c r="L46" s="16">
        <f>IF(I46="","",I46-TODAY())</f>
        <v/>
      </c>
    </row>
    <row r="47">
      <c r="A47" s="5" t="n"/>
      <c r="B47" s="5" t="n"/>
      <c r="C47" s="5" t="n"/>
      <c r="D47" s="5" t="n"/>
      <c r="E47" s="5" t="n"/>
      <c r="F47" s="5" t="n"/>
      <c r="G47" s="5" t="n"/>
      <c r="H47" s="6" t="n"/>
      <c r="I47" s="7" t="n"/>
      <c r="J47" s="8" t="n"/>
      <c r="K47" s="5" t="n"/>
      <c r="L47" s="16">
        <f>IF(I47="","",I47-TODAY())</f>
        <v/>
      </c>
    </row>
    <row r="48">
      <c r="A48" s="5" t="n"/>
      <c r="B48" s="5" t="n"/>
      <c r="C48" s="5" t="n"/>
      <c r="D48" s="5" t="n"/>
      <c r="E48" s="5" t="n"/>
      <c r="F48" s="5" t="n"/>
      <c r="G48" s="5" t="n"/>
      <c r="H48" s="6" t="n"/>
      <c r="I48" s="7" t="n"/>
      <c r="J48" s="8" t="n"/>
      <c r="K48" s="5" t="n"/>
      <c r="L48" s="16">
        <f>IF(I48="","",I48-TODAY())</f>
        <v/>
      </c>
    </row>
    <row r="49">
      <c r="A49" s="5" t="n"/>
      <c r="B49" s="5" t="n"/>
      <c r="C49" s="5" t="n"/>
      <c r="D49" s="5" t="n"/>
      <c r="E49" s="5" t="n"/>
      <c r="F49" s="5" t="n"/>
      <c r="G49" s="5" t="n"/>
      <c r="H49" s="6" t="n"/>
      <c r="I49" s="7" t="n"/>
      <c r="J49" s="8" t="n"/>
      <c r="K49" s="5" t="n"/>
      <c r="L49" s="16">
        <f>IF(I49="","",I49-TODAY())</f>
        <v/>
      </c>
    </row>
    <row r="50">
      <c r="A50" s="5" t="n"/>
      <c r="B50" s="5" t="n"/>
      <c r="C50" s="5" t="n"/>
      <c r="D50" s="5" t="n"/>
      <c r="E50" s="5" t="n"/>
      <c r="F50" s="5" t="n"/>
      <c r="G50" s="5" t="n"/>
      <c r="H50" s="6" t="n"/>
      <c r="I50" s="7" t="n"/>
      <c r="J50" s="8" t="n"/>
      <c r="K50" s="5" t="n"/>
      <c r="L50" s="16">
        <f>IF(I50="","",I50-TODAY())</f>
        <v/>
      </c>
    </row>
    <row r="51">
      <c r="A51" s="5" t="n"/>
      <c r="B51" s="5" t="n"/>
      <c r="C51" s="5" t="n"/>
      <c r="D51" s="5" t="n"/>
      <c r="E51" s="5" t="n"/>
      <c r="F51" s="5" t="n"/>
      <c r="G51" s="5" t="n"/>
      <c r="H51" s="6" t="n"/>
      <c r="I51" s="7" t="n"/>
      <c r="J51" s="8" t="n"/>
      <c r="K51" s="5" t="n"/>
      <c r="L51" s="16">
        <f>IF(I51="","",I51-TODAY())</f>
        <v/>
      </c>
    </row>
    <row r="52">
      <c r="A52" s="5" t="n"/>
      <c r="B52" s="5" t="n"/>
      <c r="C52" s="5" t="n"/>
      <c r="D52" s="5" t="n"/>
      <c r="E52" s="5" t="n"/>
      <c r="F52" s="5" t="n"/>
      <c r="G52" s="5" t="n"/>
      <c r="H52" s="6" t="n"/>
      <c r="I52" s="7" t="n"/>
      <c r="J52" s="8" t="n"/>
      <c r="K52" s="5" t="n"/>
      <c r="L52" s="16">
        <f>IF(I52="","",I52-TODAY())</f>
        <v/>
      </c>
    </row>
    <row r="53">
      <c r="A53" s="5" t="n"/>
      <c r="B53" s="5" t="n"/>
      <c r="C53" s="5" t="n"/>
      <c r="D53" s="5" t="n"/>
      <c r="E53" s="5" t="n"/>
      <c r="F53" s="5" t="n"/>
      <c r="G53" s="5" t="n"/>
      <c r="H53" s="6" t="n"/>
      <c r="I53" s="7" t="n"/>
      <c r="J53" s="8" t="n"/>
      <c r="K53" s="5" t="n"/>
      <c r="L53" s="16">
        <f>IF(I53="","",I53-TODAY())</f>
        <v/>
      </c>
    </row>
    <row r="54">
      <c r="A54" s="5" t="n"/>
      <c r="B54" s="5" t="n"/>
      <c r="C54" s="5" t="n"/>
      <c r="D54" s="5" t="n"/>
      <c r="E54" s="5" t="n"/>
      <c r="F54" s="5" t="n"/>
      <c r="G54" s="5" t="n"/>
      <c r="H54" s="6" t="n"/>
      <c r="I54" s="7" t="n"/>
      <c r="J54" s="8" t="n"/>
      <c r="K54" s="5" t="n"/>
      <c r="L54" s="16">
        <f>IF(I54="","",I54-TODAY())</f>
        <v/>
      </c>
    </row>
    <row r="55">
      <c r="A55" s="5" t="n"/>
      <c r="B55" s="5" t="n"/>
      <c r="C55" s="5" t="n"/>
      <c r="D55" s="5" t="n"/>
      <c r="E55" s="5" t="n"/>
      <c r="F55" s="5" t="n"/>
      <c r="G55" s="5" t="n"/>
      <c r="H55" s="6" t="n"/>
      <c r="I55" s="7" t="n"/>
      <c r="J55" s="8" t="n"/>
      <c r="K55" s="5" t="n"/>
      <c r="L55" s="16">
        <f>IF(I55="","",I55-TODAY())</f>
        <v/>
      </c>
    </row>
    <row r="57" ht="20" customHeight="1">
      <c r="A57" s="9" t="inlineStr">
        <is>
          <t>TOTAL DE PAGAMENTOS</t>
        </is>
      </c>
      <c r="B57" s="17" t="n"/>
      <c r="C57" s="17" t="n"/>
      <c r="D57" s="17" t="n"/>
      <c r="E57" s="17" t="n"/>
      <c r="F57" s="17" t="n"/>
      <c r="G57" s="18" t="n"/>
      <c r="H57" s="10">
        <f>SUM(H6:H55)</f>
        <v/>
      </c>
    </row>
  </sheetData>
  <mergeCells count="4">
    <mergeCell ref="A57:G57"/>
    <mergeCell ref="C2:K2"/>
    <mergeCell ref="C1:K1"/>
    <mergeCell ref="A1:B3"/>
  </mergeCells>
  <dataValidations count="7">
    <dataValidation sqref="J6:J55" showDropDown="0" showInputMessage="0" showErrorMessage="0" allowBlank="1" errorTitle="Entrada Inválida" error="Selecione: Pendente, Processando, Pago ou Cancelado" type="list">
      <formula1>"Pendente,Processando,Pago,Cancelado"</formula1>
    </dataValidation>
    <dataValidation sqref="C6:C55" showDropDown="0" showInputMessage="0" showErrorMessage="0" allowBlank="1" errorTitle="CPF Inválido" error="CPF deve conter 11 dígitos numéricos" type="custom">
      <formula1>=AND(LEN(C6)=11,ISNUMBER(VALUE(C6)))</formula1>
    </dataValidation>
    <dataValidation sqref="D6:D55" showDropDown="0" showInputMessage="0" showErrorMessage="0" allowBlank="1" errorTitle="Banco Inválido" error="Selecione um banco da lista" type="list">
      <formula1>"Banco do Brasil,Caixa,Itaú,Bradesco,Santander,Nubank,Inter,Outro"</formula1>
    </dataValidation>
    <dataValidation sqref="F6:F55" showDropDown="0" showInputMessage="0" showErrorMessage="0" allowBlank="1" errorTitle="Tipo de Serviço Inválido" error="Selecione um tipo de serviço" type="list">
      <formula1>"Consultoria,Desenvolvimento,Suporte,Manutenção,Treinamento,Outro"</formula1>
    </dataValidation>
    <dataValidation sqref="G6:G55" showDropDown="0" showInputMessage="0" showErrorMessage="0" allowBlank="1" errorTitle="Centro de Custo Inválido" error="Selecione um centro de custo" type="list">
      <formula1>"Administrativo,Operacional,Comercial,TI,Recursos Humanos,Financeiro,Outro"</formula1>
    </dataValidation>
    <dataValidation sqref="H6:H55" showDropDown="0" showInputMessage="0" showErrorMessage="0" allowBlank="1" errorTitle="Valor Inválido" error="O valor deve ser maior que zero" type="custom">
      <formula1>=H6&gt;0</formula1>
    </dataValidation>
    <dataValidation sqref="I6:I55" showDropDown="0" showInputMessage="0" showErrorMessage="0" allowBlank="1" errorTitle="Data Inválida" error="A data não pode ser anterior a hoje" type="custom">
      <formula1>=I6&gt;=TODAY()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1" t="inlineStr">
        <is>
          <t>RELATÓRIOS - PAGAMENTOS</t>
        </is>
      </c>
    </row>
    <row r="3">
      <c r="A3" s="12" t="inlineStr">
        <is>
          <t>Total de Pagamentos:</t>
        </is>
      </c>
      <c r="B3" s="13">
        <f>'Pagamentos'!H57</f>
        <v/>
      </c>
    </row>
    <row r="4">
      <c r="A4" s="12" t="inlineStr">
        <is>
          <t>Pagamentos Realizados:</t>
        </is>
      </c>
      <c r="B4" s="13">
        <f>SUMIF('Pagamentos'!J:J,"Pago",'Pagamentos'!H:H)</f>
        <v/>
      </c>
    </row>
    <row r="5">
      <c r="A5" s="12" t="inlineStr">
        <is>
          <t>Pagamentos Pendentes:</t>
        </is>
      </c>
      <c r="B5" s="13">
        <f>SUMIF('Pagamentos'!J:J,"Pendente",'Pagamentos'!H:H)</f>
        <v/>
      </c>
    </row>
    <row r="6">
      <c r="A6" s="12" t="inlineStr">
        <is>
          <t>Pagamentos em Processamento:</t>
        </is>
      </c>
      <c r="B6" s="13">
        <f>SUMIF('Pagamentos'!J:J,"Processando",'Pagamentos'!H:H)</f>
        <v/>
      </c>
    </row>
    <row r="7">
      <c r="A7" s="12" t="inlineStr">
        <is>
          <t>Quantidade de Registros:</t>
        </is>
      </c>
      <c r="B7" s="14">
        <f>COUNTA('Pagamentos'!B6:B55)</f>
        <v/>
      </c>
    </row>
    <row r="10">
      <c r="A10" s="19" t="inlineStr">
        <is>
          <t>ANÁLISE POR STATUS</t>
        </is>
      </c>
    </row>
    <row r="11">
      <c r="A11" s="12" t="inlineStr">
        <is>
          <t>Quantidade Pendente:</t>
        </is>
      </c>
      <c r="B11" s="14">
        <f>COUNTIF('Pagamentos'!J:J,"Pendente")</f>
        <v/>
      </c>
    </row>
    <row r="12">
      <c r="A12" s="12" t="inlineStr">
        <is>
          <t>Quantidade Pago:</t>
        </is>
      </c>
      <c r="B12" s="14">
        <f>COUNTIF('Pagamentos'!J:J,"Pago")</f>
        <v/>
      </c>
    </row>
    <row r="13">
      <c r="A13" s="12" t="inlineStr">
        <is>
          <t>Quantidade Processando:</t>
        </is>
      </c>
      <c r="B13" s="14">
        <f>COUNTIF('Pagamentos'!J:J,"Processando")</f>
        <v/>
      </c>
    </row>
    <row r="14">
      <c r="A14" s="12" t="inlineStr">
        <is>
          <t>Quantidade Cancelado:</t>
        </is>
      </c>
      <c r="B14" s="14">
        <f>COUNTIF('Pagamentos'!J:J,"Cancelado")</f>
        <v/>
      </c>
    </row>
    <row r="15">
      <c r="A15" s="12" t="n"/>
      <c r="B15" s="14" t="n"/>
    </row>
    <row r="16">
      <c r="A16" s="20" t="inlineStr">
        <is>
          <t>ANÁLISE POR CENTRO DE CUSTO</t>
        </is>
      </c>
      <c r="B16" s="14" t="n"/>
    </row>
    <row r="17">
      <c r="A17" s="12" t="inlineStr">
        <is>
          <t>Administrativo:</t>
        </is>
      </c>
      <c r="B17" s="13">
        <f>SUMIF('Pagamentos'!G:G,"Administrativo",'Pagamentos'!H:H)</f>
        <v/>
      </c>
    </row>
    <row r="18">
      <c r="A18" s="12" t="inlineStr">
        <is>
          <t>Operacional:</t>
        </is>
      </c>
      <c r="B18" s="13">
        <f>SUMIF('Pagamentos'!G:G,"Operacional",'Pagamentos'!H:H)</f>
        <v/>
      </c>
    </row>
    <row r="19">
      <c r="A19" s="12" t="inlineStr">
        <is>
          <t>Comercial:</t>
        </is>
      </c>
      <c r="B19" s="13">
        <f>SUMIF('Pagamentos'!G:G,"Comercial",'Pagamentos'!H:H)</f>
        <v/>
      </c>
    </row>
    <row r="20">
      <c r="A20" s="12" t="inlineStr">
        <is>
          <t>TI:</t>
        </is>
      </c>
      <c r="B20" s="13">
        <f>SUMIF('Pagamentos'!G:G,"TI",'Pagamentos'!H:H)</f>
        <v/>
      </c>
    </row>
    <row r="21">
      <c r="A21" s="12" t="inlineStr">
        <is>
          <t>Recursos Humanos:</t>
        </is>
      </c>
      <c r="B21" s="13">
        <f>SUMIF('Pagamentos'!G:G,"Recursos Humanos",'Pagamentos'!H:H)</f>
        <v/>
      </c>
    </row>
    <row r="22">
      <c r="A22" s="12" t="inlineStr">
        <is>
          <t>Financeiro:</t>
        </is>
      </c>
      <c r="B22" s="13">
        <f>SUMIF('Pagamentos'!G:G,"Financeiro",'Pagamentos'!H:H)</f>
        <v/>
      </c>
    </row>
    <row r="23">
      <c r="A23" s="12" t="inlineStr">
        <is>
          <t>Outro:</t>
        </is>
      </c>
      <c r="B23" s="13">
        <f>SUMIF('Pagamentos'!G:G,"Outro",'Pagamentos'!H:H)</f>
        <v/>
      </c>
    </row>
  </sheetData>
  <mergeCells count="3">
    <mergeCell ref="A16:B16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2026-03-02T03:42:18Z</dcterms:created>
  <dcterms:modified xmlns:dcterms="http://purl.org/dc/terms/" xmlns:xsi="http://www.w3.org/2001/XMLSchema-instance" xsi:type="dcterms:W3CDTF">2026-03-02T03:42:37Z</dcterms:modified>
</cp:coreProperties>
</file>