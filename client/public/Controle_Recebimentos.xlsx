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  <sheet xmlns:r="http://schemas.openxmlformats.org/officeDocument/2006/relationships" name="Relató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i val="1"/>
      <color rgb="00999999"/>
      <sz val="9"/>
    </font>
    <font>
      <name val="Calibri"/>
      <b val="1"/>
      <color rgb="001F4E78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0" borderId="1" pivotButton="0" quotePrefix="0" xfId="0"/>
    <xf numFmtId="0" fontId="8" fillId="0" borderId="1" pivotButton="0" quotePrefix="0" xfId="0"/>
    <xf numFmtId="0" fontId="9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0" pivotButton="0" quotePrefix="0" xfId="0"/>
    <xf numFmtId="0" fontId="7" fillId="2" borderId="0" pivotButton="0" quotePrefix="0" xfId="0"/>
    <xf numFmtId="1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  <col width="20" customWidth="1" min="12" max="12"/>
    <col width="15" customWidth="1" min="13" max="13"/>
    <col width="14" customWidth="1" min="14" max="14"/>
  </cols>
  <sheetData>
    <row r="1">
      <c r="A1" s="1" t="inlineStr">
        <is>
          <t>[INSIRA O LOGO AQUI]</t>
        </is>
      </c>
      <c r="C1" s="2" t="inlineStr">
        <is>
          <t>CONTROLE DE RECEBIMENTOS</t>
        </is>
      </c>
    </row>
    <row r="2">
      <c r="C2" s="3" t="inlineStr">
        <is>
          <t>Atualizado em: 01/03/2026</t>
        </is>
      </c>
    </row>
    <row r="3"/>
    <row r="5" ht="25" customHeight="1">
      <c r="A5" s="4" t="inlineStr"/>
      <c r="B5" s="4" t="inlineStr">
        <is>
          <t>Nº Contrato</t>
        </is>
      </c>
      <c r="C5" s="4" t="inlineStr">
        <is>
          <t>Nome/Razão Social</t>
        </is>
      </c>
      <c r="D5" s="4" t="inlineStr">
        <is>
          <t>Qtd Parcelas</t>
        </is>
      </c>
      <c r="E5" s="4" t="inlineStr">
        <is>
          <t>Parcela</t>
        </is>
      </c>
      <c r="F5" s="4" t="inlineStr">
        <is>
          <t>Valor Total (R$)</t>
        </is>
      </c>
      <c r="G5" s="4" t="inlineStr">
        <is>
          <t>Valor Equipamento (R$)</t>
        </is>
      </c>
      <c r="H5" s="4" t="inlineStr">
        <is>
          <t>Valor Serviços (R$)</t>
        </is>
      </c>
      <c r="I5" s="4" t="inlineStr">
        <is>
          <t>Data Vencimento</t>
        </is>
      </c>
      <c r="J5" s="4" t="inlineStr">
        <is>
          <t>Status</t>
        </is>
      </c>
      <c r="K5" s="4" t="inlineStr">
        <is>
          <t>Descrição</t>
        </is>
      </c>
      <c r="L5" s="4" t="inlineStr">
        <is>
          <t>Observações</t>
        </is>
      </c>
      <c r="M5" s="15" t="inlineStr">
        <is>
          <t>Valor/Parcela</t>
        </is>
      </c>
      <c r="N5" s="15" t="inlineStr">
        <is>
          <t>Dias até Venc.</t>
        </is>
      </c>
    </row>
    <row r="6">
      <c r="A6" s="5" t="n"/>
      <c r="B6" s="5" t="n"/>
      <c r="C6" s="5" t="n"/>
      <c r="D6" s="5" t="n"/>
      <c r="E6" s="5" t="n"/>
      <c r="F6" s="6" t="n"/>
      <c r="G6" s="6" t="n"/>
      <c r="H6" s="6" t="n"/>
      <c r="I6" s="7" t="n"/>
      <c r="J6" s="8" t="n"/>
      <c r="K6" s="5" t="n"/>
      <c r="L6" s="5" t="n"/>
      <c r="M6" s="6">
        <f>IF(E6=0,"",F6/E6)</f>
        <v/>
      </c>
      <c r="N6" s="16">
        <f>IF(I6="","",I6-TODAY())</f>
        <v/>
      </c>
    </row>
    <row r="7">
      <c r="A7" s="5" t="n"/>
      <c r="B7" s="5" t="n"/>
      <c r="C7" s="5" t="n"/>
      <c r="D7" s="5" t="n"/>
      <c r="E7" s="5" t="n"/>
      <c r="F7" s="6" t="n"/>
      <c r="G7" s="6" t="n"/>
      <c r="H7" s="6" t="n"/>
      <c r="I7" s="7" t="n"/>
      <c r="J7" s="8" t="n"/>
      <c r="K7" s="5" t="n"/>
      <c r="L7" s="5" t="n"/>
      <c r="M7" s="6">
        <f>IF(E7=0,"",F7/E7)</f>
        <v/>
      </c>
      <c r="N7" s="16">
        <f>IF(I7="","",I7-TODAY())</f>
        <v/>
      </c>
    </row>
    <row r="8">
      <c r="A8" s="5" t="n"/>
      <c r="B8" s="5" t="n"/>
      <c r="C8" s="5" t="n"/>
      <c r="D8" s="5" t="n"/>
      <c r="E8" s="5" t="n"/>
      <c r="F8" s="6" t="n"/>
      <c r="G8" s="6" t="n"/>
      <c r="H8" s="6" t="n"/>
      <c r="I8" s="7" t="n"/>
      <c r="J8" s="8" t="n"/>
      <c r="K8" s="5" t="n"/>
      <c r="L8" s="5" t="n"/>
      <c r="M8" s="6">
        <f>IF(E8=0,"",F8/E8)</f>
        <v/>
      </c>
      <c r="N8" s="16">
        <f>IF(I8="","",I8-TODAY())</f>
        <v/>
      </c>
    </row>
    <row r="9">
      <c r="A9" s="5" t="n"/>
      <c r="B9" s="5" t="n"/>
      <c r="C9" s="5" t="n"/>
      <c r="D9" s="5" t="n"/>
      <c r="E9" s="5" t="n"/>
      <c r="F9" s="6" t="n"/>
      <c r="G9" s="6" t="n"/>
      <c r="H9" s="6" t="n"/>
      <c r="I9" s="7" t="n"/>
      <c r="J9" s="8" t="n"/>
      <c r="K9" s="5" t="n"/>
      <c r="L9" s="5" t="n"/>
      <c r="M9" s="6">
        <f>IF(E9=0,"",F9/E9)</f>
        <v/>
      </c>
      <c r="N9" s="16">
        <f>IF(I9="","",I9-TODAY())</f>
        <v/>
      </c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  <c r="I10" s="7" t="n"/>
      <c r="J10" s="8" t="n"/>
      <c r="K10" s="5" t="n"/>
      <c r="L10" s="5" t="n"/>
      <c r="M10" s="6">
        <f>IF(E10=0,"",F10/E10)</f>
        <v/>
      </c>
      <c r="N10" s="16">
        <f>IF(I10="","",I10-TODAY())</f>
        <v/>
      </c>
    </row>
    <row r="11">
      <c r="A11" s="5" t="n"/>
      <c r="B11" s="5" t="n"/>
      <c r="C11" s="5" t="n"/>
      <c r="D11" s="5" t="n"/>
      <c r="E11" s="5" t="n"/>
      <c r="F11" s="6" t="n"/>
      <c r="G11" s="6" t="n"/>
      <c r="H11" s="6" t="n"/>
      <c r="I11" s="7" t="n"/>
      <c r="J11" s="8" t="n"/>
      <c r="K11" s="5" t="n"/>
      <c r="L11" s="5" t="n"/>
      <c r="M11" s="6">
        <f>IF(E11=0,"",F11/E11)</f>
        <v/>
      </c>
      <c r="N11" s="16">
        <f>IF(I11="","",I11-TODAY())</f>
        <v/>
      </c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  <c r="I12" s="7" t="n"/>
      <c r="J12" s="8" t="n"/>
      <c r="K12" s="5" t="n"/>
      <c r="L12" s="5" t="n"/>
      <c r="M12" s="6">
        <f>IF(E12=0,"",F12/E12)</f>
        <v/>
      </c>
      <c r="N12" s="16">
        <f>IF(I12="","",I12-TODAY())</f>
        <v/>
      </c>
    </row>
    <row r="13">
      <c r="A13" s="5" t="n"/>
      <c r="B13" s="5" t="n"/>
      <c r="C13" s="5" t="n"/>
      <c r="D13" s="5" t="n"/>
      <c r="E13" s="5" t="n"/>
      <c r="F13" s="6" t="n"/>
      <c r="G13" s="6" t="n"/>
      <c r="H13" s="6" t="n"/>
      <c r="I13" s="7" t="n"/>
      <c r="J13" s="8" t="n"/>
      <c r="K13" s="5" t="n"/>
      <c r="L13" s="5" t="n"/>
      <c r="M13" s="6">
        <f>IF(E13=0,"",F13/E13)</f>
        <v/>
      </c>
      <c r="N13" s="16">
        <f>IF(I13="","",I13-TODAY())</f>
        <v/>
      </c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  <c r="I14" s="7" t="n"/>
      <c r="J14" s="8" t="n"/>
      <c r="K14" s="5" t="n"/>
      <c r="L14" s="5" t="n"/>
      <c r="M14" s="6">
        <f>IF(E14=0,"",F14/E14)</f>
        <v/>
      </c>
      <c r="N14" s="16">
        <f>IF(I14="","",I14-TODAY())</f>
        <v/>
      </c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  <c r="I15" s="7" t="n"/>
      <c r="J15" s="8" t="n"/>
      <c r="K15" s="5" t="n"/>
      <c r="L15" s="5" t="n"/>
      <c r="M15" s="6">
        <f>IF(E15=0,"",F15/E15)</f>
        <v/>
      </c>
      <c r="N15" s="16">
        <f>IF(I15="","",I15-TODAY())</f>
        <v/>
      </c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7" t="n"/>
      <c r="J16" s="8" t="n"/>
      <c r="K16" s="5" t="n"/>
      <c r="L16" s="5" t="n"/>
      <c r="M16" s="6">
        <f>IF(E16=0,"",F16/E16)</f>
        <v/>
      </c>
      <c r="N16" s="16">
        <f>IF(I16="","",I16-TODAY())</f>
        <v/>
      </c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  <c r="I17" s="7" t="n"/>
      <c r="J17" s="8" t="n"/>
      <c r="K17" s="5" t="n"/>
      <c r="L17" s="5" t="n"/>
      <c r="M17" s="6">
        <f>IF(E17=0,"",F17/E17)</f>
        <v/>
      </c>
      <c r="N17" s="16">
        <f>IF(I17="","",I17-TODAY())</f>
        <v/>
      </c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7" t="n"/>
      <c r="J18" s="8" t="n"/>
      <c r="K18" s="5" t="n"/>
      <c r="L18" s="5" t="n"/>
      <c r="M18" s="6">
        <f>IF(E18=0,"",F18/E18)</f>
        <v/>
      </c>
      <c r="N18" s="16">
        <f>IF(I18="","",I18-TODAY())</f>
        <v/>
      </c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  <c r="I19" s="7" t="n"/>
      <c r="J19" s="8" t="n"/>
      <c r="K19" s="5" t="n"/>
      <c r="L19" s="5" t="n"/>
      <c r="M19" s="6">
        <f>IF(E19=0,"",F19/E19)</f>
        <v/>
      </c>
      <c r="N19" s="16">
        <f>IF(I19="","",I19-TODAY())</f>
        <v/>
      </c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7" t="n"/>
      <c r="J20" s="8" t="n"/>
      <c r="K20" s="5" t="n"/>
      <c r="L20" s="5" t="n"/>
      <c r="M20" s="6">
        <f>IF(E20=0,"",F20/E20)</f>
        <v/>
      </c>
      <c r="N20" s="16">
        <f>IF(I20="","",I20-TODAY())</f>
        <v/>
      </c>
    </row>
    <row r="21">
      <c r="A21" s="5" t="n"/>
      <c r="B21" s="5" t="n"/>
      <c r="C21" s="5" t="n"/>
      <c r="D21" s="5" t="n"/>
      <c r="E21" s="5" t="n"/>
      <c r="F21" s="6" t="n"/>
      <c r="G21" s="6" t="n"/>
      <c r="H21" s="6" t="n"/>
      <c r="I21" s="7" t="n"/>
      <c r="J21" s="8" t="n"/>
      <c r="K21" s="5" t="n"/>
      <c r="L21" s="5" t="n"/>
      <c r="M21" s="6">
        <f>IF(E21=0,"",F21/E21)</f>
        <v/>
      </c>
      <c r="N21" s="16">
        <f>IF(I21="","",I21-TODAY())</f>
        <v/>
      </c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  <c r="I22" s="7" t="n"/>
      <c r="J22" s="8" t="n"/>
      <c r="K22" s="5" t="n"/>
      <c r="L22" s="5" t="n"/>
      <c r="M22" s="6">
        <f>IF(E22=0,"",F22/E22)</f>
        <v/>
      </c>
      <c r="N22" s="16">
        <f>IF(I22="","",I22-TODAY())</f>
        <v/>
      </c>
    </row>
    <row r="23">
      <c r="A23" s="5" t="n"/>
      <c r="B23" s="5" t="n"/>
      <c r="C23" s="5" t="n"/>
      <c r="D23" s="5" t="n"/>
      <c r="E23" s="5" t="n"/>
      <c r="F23" s="6" t="n"/>
      <c r="G23" s="6" t="n"/>
      <c r="H23" s="6" t="n"/>
      <c r="I23" s="7" t="n"/>
      <c r="J23" s="8" t="n"/>
      <c r="K23" s="5" t="n"/>
      <c r="L23" s="5" t="n"/>
      <c r="M23" s="6">
        <f>IF(E23=0,"",F23/E23)</f>
        <v/>
      </c>
      <c r="N23" s="16">
        <f>IF(I23="","",I23-TODAY())</f>
        <v/>
      </c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  <c r="I24" s="7" t="n"/>
      <c r="J24" s="8" t="n"/>
      <c r="K24" s="5" t="n"/>
      <c r="L24" s="5" t="n"/>
      <c r="M24" s="6">
        <f>IF(E24=0,"",F24/E24)</f>
        <v/>
      </c>
      <c r="N24" s="16">
        <f>IF(I24="","",I24-TODAY())</f>
        <v/>
      </c>
    </row>
    <row r="25">
      <c r="A25" s="5" t="n"/>
      <c r="B25" s="5" t="n"/>
      <c r="C25" s="5" t="n"/>
      <c r="D25" s="5" t="n"/>
      <c r="E25" s="5" t="n"/>
      <c r="F25" s="6" t="n"/>
      <c r="G25" s="6" t="n"/>
      <c r="H25" s="6" t="n"/>
      <c r="I25" s="7" t="n"/>
      <c r="J25" s="8" t="n"/>
      <c r="K25" s="5" t="n"/>
      <c r="L25" s="5" t="n"/>
      <c r="M25" s="6">
        <f>IF(E25=0,"",F25/E25)</f>
        <v/>
      </c>
      <c r="N25" s="16">
        <f>IF(I25="","",I25-TODAY())</f>
        <v/>
      </c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  <c r="I26" s="7" t="n"/>
      <c r="J26" s="8" t="n"/>
      <c r="K26" s="5" t="n"/>
      <c r="L26" s="5" t="n"/>
      <c r="M26" s="6">
        <f>IF(E26=0,"",F26/E26)</f>
        <v/>
      </c>
      <c r="N26" s="16">
        <f>IF(I26="","",I26-TODAY())</f>
        <v/>
      </c>
    </row>
    <row r="27">
      <c r="A27" s="5" t="n"/>
      <c r="B27" s="5" t="n"/>
      <c r="C27" s="5" t="n"/>
      <c r="D27" s="5" t="n"/>
      <c r="E27" s="5" t="n"/>
      <c r="F27" s="6" t="n"/>
      <c r="G27" s="6" t="n"/>
      <c r="H27" s="6" t="n"/>
      <c r="I27" s="7" t="n"/>
      <c r="J27" s="8" t="n"/>
      <c r="K27" s="5" t="n"/>
      <c r="L27" s="5" t="n"/>
      <c r="M27" s="6">
        <f>IF(E27=0,"",F27/E27)</f>
        <v/>
      </c>
      <c r="N27" s="16">
        <f>IF(I27="","",I27-TODAY())</f>
        <v/>
      </c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  <c r="I28" s="7" t="n"/>
      <c r="J28" s="8" t="n"/>
      <c r="K28" s="5" t="n"/>
      <c r="L28" s="5" t="n"/>
      <c r="M28" s="6">
        <f>IF(E28=0,"",F28/E28)</f>
        <v/>
      </c>
      <c r="N28" s="16">
        <f>IF(I28="","",I28-TODAY())</f>
        <v/>
      </c>
    </row>
    <row r="29">
      <c r="A29" s="5" t="n"/>
      <c r="B29" s="5" t="n"/>
      <c r="C29" s="5" t="n"/>
      <c r="D29" s="5" t="n"/>
      <c r="E29" s="5" t="n"/>
      <c r="F29" s="6" t="n"/>
      <c r="G29" s="6" t="n"/>
      <c r="H29" s="6" t="n"/>
      <c r="I29" s="7" t="n"/>
      <c r="J29" s="8" t="n"/>
      <c r="K29" s="5" t="n"/>
      <c r="L29" s="5" t="n"/>
      <c r="M29" s="6">
        <f>IF(E29=0,"",F29/E29)</f>
        <v/>
      </c>
      <c r="N29" s="16">
        <f>IF(I29="","",I29-TODAY())</f>
        <v/>
      </c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  <c r="I30" s="7" t="n"/>
      <c r="J30" s="8" t="n"/>
      <c r="K30" s="5" t="n"/>
      <c r="L30" s="5" t="n"/>
      <c r="M30" s="6">
        <f>IF(E30=0,"",F30/E30)</f>
        <v/>
      </c>
      <c r="N30" s="16">
        <f>IF(I30="","",I30-TODAY())</f>
        <v/>
      </c>
    </row>
    <row r="31">
      <c r="A31" s="5" t="n"/>
      <c r="B31" s="5" t="n"/>
      <c r="C31" s="5" t="n"/>
      <c r="D31" s="5" t="n"/>
      <c r="E31" s="5" t="n"/>
      <c r="F31" s="6" t="n"/>
      <c r="G31" s="6" t="n"/>
      <c r="H31" s="6" t="n"/>
      <c r="I31" s="7" t="n"/>
      <c r="J31" s="8" t="n"/>
      <c r="K31" s="5" t="n"/>
      <c r="L31" s="5" t="n"/>
      <c r="M31" s="6">
        <f>IF(E31=0,"",F31/E31)</f>
        <v/>
      </c>
      <c r="N31" s="16">
        <f>IF(I31="","",I31-TODAY())</f>
        <v/>
      </c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  <c r="I32" s="7" t="n"/>
      <c r="J32" s="8" t="n"/>
      <c r="K32" s="5" t="n"/>
      <c r="L32" s="5" t="n"/>
      <c r="M32" s="6">
        <f>IF(E32=0,"",F32/E32)</f>
        <v/>
      </c>
      <c r="N32" s="16">
        <f>IF(I32="","",I32-TODAY())</f>
        <v/>
      </c>
    </row>
    <row r="33">
      <c r="A33" s="5" t="n"/>
      <c r="B33" s="5" t="n"/>
      <c r="C33" s="5" t="n"/>
      <c r="D33" s="5" t="n"/>
      <c r="E33" s="5" t="n"/>
      <c r="F33" s="6" t="n"/>
      <c r="G33" s="6" t="n"/>
      <c r="H33" s="6" t="n"/>
      <c r="I33" s="7" t="n"/>
      <c r="J33" s="8" t="n"/>
      <c r="K33" s="5" t="n"/>
      <c r="L33" s="5" t="n"/>
      <c r="M33" s="6">
        <f>IF(E33=0,"",F33/E33)</f>
        <v/>
      </c>
      <c r="N33" s="16">
        <f>IF(I33="","",I33-TODAY())</f>
        <v/>
      </c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  <c r="I34" s="7" t="n"/>
      <c r="J34" s="8" t="n"/>
      <c r="K34" s="5" t="n"/>
      <c r="L34" s="5" t="n"/>
      <c r="M34" s="6">
        <f>IF(E34=0,"",F34/E34)</f>
        <v/>
      </c>
      <c r="N34" s="16">
        <f>IF(I34="","",I34-TODAY())</f>
        <v/>
      </c>
    </row>
    <row r="35">
      <c r="A35" s="5" t="n"/>
      <c r="B35" s="5" t="n"/>
      <c r="C35" s="5" t="n"/>
      <c r="D35" s="5" t="n"/>
      <c r="E35" s="5" t="n"/>
      <c r="F35" s="6" t="n"/>
      <c r="G35" s="6" t="n"/>
      <c r="H35" s="6" t="n"/>
      <c r="I35" s="7" t="n"/>
      <c r="J35" s="8" t="n"/>
      <c r="K35" s="5" t="n"/>
      <c r="L35" s="5" t="n"/>
      <c r="M35" s="6">
        <f>IF(E35=0,"",F35/E35)</f>
        <v/>
      </c>
      <c r="N35" s="16">
        <f>IF(I35="","",I35-TODAY())</f>
        <v/>
      </c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  <c r="I36" s="7" t="n"/>
      <c r="J36" s="8" t="n"/>
      <c r="K36" s="5" t="n"/>
      <c r="L36" s="5" t="n"/>
      <c r="M36" s="6">
        <f>IF(E36=0,"",F36/E36)</f>
        <v/>
      </c>
      <c r="N36" s="16">
        <f>IF(I36="","",I36-TODAY())</f>
        <v/>
      </c>
    </row>
    <row r="37">
      <c r="A37" s="5" t="n"/>
      <c r="B37" s="5" t="n"/>
      <c r="C37" s="5" t="n"/>
      <c r="D37" s="5" t="n"/>
      <c r="E37" s="5" t="n"/>
      <c r="F37" s="6" t="n"/>
      <c r="G37" s="6" t="n"/>
      <c r="H37" s="6" t="n"/>
      <c r="I37" s="7" t="n"/>
      <c r="J37" s="8" t="n"/>
      <c r="K37" s="5" t="n"/>
      <c r="L37" s="5" t="n"/>
      <c r="M37" s="6">
        <f>IF(E37=0,"",F37/E37)</f>
        <v/>
      </c>
      <c r="N37" s="16">
        <f>IF(I37="","",I37-TODAY())</f>
        <v/>
      </c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  <c r="I38" s="7" t="n"/>
      <c r="J38" s="8" t="n"/>
      <c r="K38" s="5" t="n"/>
      <c r="L38" s="5" t="n"/>
      <c r="M38" s="6">
        <f>IF(E38=0,"",F38/E38)</f>
        <v/>
      </c>
      <c r="N38" s="16">
        <f>IF(I38="","",I38-TODAY())</f>
        <v/>
      </c>
    </row>
    <row r="39">
      <c r="A39" s="5" t="n"/>
      <c r="B39" s="5" t="n"/>
      <c r="C39" s="5" t="n"/>
      <c r="D39" s="5" t="n"/>
      <c r="E39" s="5" t="n"/>
      <c r="F39" s="6" t="n"/>
      <c r="G39" s="6" t="n"/>
      <c r="H39" s="6" t="n"/>
      <c r="I39" s="7" t="n"/>
      <c r="J39" s="8" t="n"/>
      <c r="K39" s="5" t="n"/>
      <c r="L39" s="5" t="n"/>
      <c r="M39" s="6">
        <f>IF(E39=0,"",F39/E39)</f>
        <v/>
      </c>
      <c r="N39" s="16">
        <f>IF(I39="","",I39-TODAY())</f>
        <v/>
      </c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  <c r="I40" s="7" t="n"/>
      <c r="J40" s="8" t="n"/>
      <c r="K40" s="5" t="n"/>
      <c r="L40" s="5" t="n"/>
      <c r="M40" s="6">
        <f>IF(E40=0,"",F40/E40)</f>
        <v/>
      </c>
      <c r="N40" s="16">
        <f>IF(I40="","",I40-TODAY())</f>
        <v/>
      </c>
    </row>
    <row r="41">
      <c r="A41" s="5" t="n"/>
      <c r="B41" s="5" t="n"/>
      <c r="C41" s="5" t="n"/>
      <c r="D41" s="5" t="n"/>
      <c r="E41" s="5" t="n"/>
      <c r="F41" s="6" t="n"/>
      <c r="G41" s="6" t="n"/>
      <c r="H41" s="6" t="n"/>
      <c r="I41" s="7" t="n"/>
      <c r="J41" s="8" t="n"/>
      <c r="K41" s="5" t="n"/>
      <c r="L41" s="5" t="n"/>
      <c r="M41" s="6">
        <f>IF(E41=0,"",F41/E41)</f>
        <v/>
      </c>
      <c r="N41" s="16">
        <f>IF(I41="","",I41-TODAY())</f>
        <v/>
      </c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  <c r="I42" s="7" t="n"/>
      <c r="J42" s="8" t="n"/>
      <c r="K42" s="5" t="n"/>
      <c r="L42" s="5" t="n"/>
      <c r="M42" s="6">
        <f>IF(E42=0,"",F42/E42)</f>
        <v/>
      </c>
      <c r="N42" s="16">
        <f>IF(I42="","",I42-TODAY())</f>
        <v/>
      </c>
    </row>
    <row r="43">
      <c r="A43" s="5" t="n"/>
      <c r="B43" s="5" t="n"/>
      <c r="C43" s="5" t="n"/>
      <c r="D43" s="5" t="n"/>
      <c r="E43" s="5" t="n"/>
      <c r="F43" s="6" t="n"/>
      <c r="G43" s="6" t="n"/>
      <c r="H43" s="6" t="n"/>
      <c r="I43" s="7" t="n"/>
      <c r="J43" s="8" t="n"/>
      <c r="K43" s="5" t="n"/>
      <c r="L43" s="5" t="n"/>
      <c r="M43" s="6">
        <f>IF(E43=0,"",F43/E43)</f>
        <v/>
      </c>
      <c r="N43" s="16">
        <f>IF(I43="","",I43-TODAY())</f>
        <v/>
      </c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  <c r="I44" s="7" t="n"/>
      <c r="J44" s="8" t="n"/>
      <c r="K44" s="5" t="n"/>
      <c r="L44" s="5" t="n"/>
      <c r="M44" s="6">
        <f>IF(E44=0,"",F44/E44)</f>
        <v/>
      </c>
      <c r="N44" s="16">
        <f>IF(I44="","",I44-TODAY())</f>
        <v/>
      </c>
    </row>
    <row r="45">
      <c r="A45" s="5" t="n"/>
      <c r="B45" s="5" t="n"/>
      <c r="C45" s="5" t="n"/>
      <c r="D45" s="5" t="n"/>
      <c r="E45" s="5" t="n"/>
      <c r="F45" s="6" t="n"/>
      <c r="G45" s="6" t="n"/>
      <c r="H45" s="6" t="n"/>
      <c r="I45" s="7" t="n"/>
      <c r="J45" s="8" t="n"/>
      <c r="K45" s="5" t="n"/>
      <c r="L45" s="5" t="n"/>
      <c r="M45" s="6">
        <f>IF(E45=0,"",F45/E45)</f>
        <v/>
      </c>
      <c r="N45" s="16">
        <f>IF(I45="","",I45-TODAY())</f>
        <v/>
      </c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  <c r="I46" s="7" t="n"/>
      <c r="J46" s="8" t="n"/>
      <c r="K46" s="5" t="n"/>
      <c r="L46" s="5" t="n"/>
      <c r="M46" s="6">
        <f>IF(E46=0,"",F46/E46)</f>
        <v/>
      </c>
      <c r="N46" s="16">
        <f>IF(I46="","",I46-TODAY())</f>
        <v/>
      </c>
    </row>
    <row r="47">
      <c r="A47" s="5" t="n"/>
      <c r="B47" s="5" t="n"/>
      <c r="C47" s="5" t="n"/>
      <c r="D47" s="5" t="n"/>
      <c r="E47" s="5" t="n"/>
      <c r="F47" s="6" t="n"/>
      <c r="G47" s="6" t="n"/>
      <c r="H47" s="6" t="n"/>
      <c r="I47" s="7" t="n"/>
      <c r="J47" s="8" t="n"/>
      <c r="K47" s="5" t="n"/>
      <c r="L47" s="5" t="n"/>
      <c r="M47" s="6">
        <f>IF(E47=0,"",F47/E47)</f>
        <v/>
      </c>
      <c r="N47" s="16">
        <f>IF(I47="","",I47-TODAY())</f>
        <v/>
      </c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  <c r="I48" s="7" t="n"/>
      <c r="J48" s="8" t="n"/>
      <c r="K48" s="5" t="n"/>
      <c r="L48" s="5" t="n"/>
      <c r="M48" s="6">
        <f>IF(E48=0,"",F48/E48)</f>
        <v/>
      </c>
      <c r="N48" s="16">
        <f>IF(I48="","",I48-TODAY())</f>
        <v/>
      </c>
    </row>
    <row r="49">
      <c r="A49" s="5" t="n"/>
      <c r="B49" s="5" t="n"/>
      <c r="C49" s="5" t="n"/>
      <c r="D49" s="5" t="n"/>
      <c r="E49" s="5" t="n"/>
      <c r="F49" s="6" t="n"/>
      <c r="G49" s="6" t="n"/>
      <c r="H49" s="6" t="n"/>
      <c r="I49" s="7" t="n"/>
      <c r="J49" s="8" t="n"/>
      <c r="K49" s="5" t="n"/>
      <c r="L49" s="5" t="n"/>
      <c r="M49" s="6">
        <f>IF(E49=0,"",F49/E49)</f>
        <v/>
      </c>
      <c r="N49" s="16">
        <f>IF(I49="","",I49-TODAY())</f>
        <v/>
      </c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  <c r="I50" s="7" t="n"/>
      <c r="J50" s="8" t="n"/>
      <c r="K50" s="5" t="n"/>
      <c r="L50" s="5" t="n"/>
      <c r="M50" s="6">
        <f>IF(E50=0,"",F50/E50)</f>
        <v/>
      </c>
      <c r="N50" s="16">
        <f>IF(I50="","",I50-TODAY())</f>
        <v/>
      </c>
    </row>
    <row r="51">
      <c r="A51" s="5" t="n"/>
      <c r="B51" s="5" t="n"/>
      <c r="C51" s="5" t="n"/>
      <c r="D51" s="5" t="n"/>
      <c r="E51" s="5" t="n"/>
      <c r="F51" s="6" t="n"/>
      <c r="G51" s="6" t="n"/>
      <c r="H51" s="6" t="n"/>
      <c r="I51" s="7" t="n"/>
      <c r="J51" s="8" t="n"/>
      <c r="K51" s="5" t="n"/>
      <c r="L51" s="5" t="n"/>
      <c r="M51" s="6">
        <f>IF(E51=0,"",F51/E51)</f>
        <v/>
      </c>
      <c r="N51" s="16">
        <f>IF(I51="","",I51-TODAY())</f>
        <v/>
      </c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  <c r="I52" s="7" t="n"/>
      <c r="J52" s="8" t="n"/>
      <c r="K52" s="5" t="n"/>
      <c r="L52" s="5" t="n"/>
      <c r="M52" s="6">
        <f>IF(E52=0,"",F52/E52)</f>
        <v/>
      </c>
      <c r="N52" s="16">
        <f>IF(I52="","",I52-TODAY())</f>
        <v/>
      </c>
    </row>
    <row r="53">
      <c r="A53" s="5" t="n"/>
      <c r="B53" s="5" t="n"/>
      <c r="C53" s="5" t="n"/>
      <c r="D53" s="5" t="n"/>
      <c r="E53" s="5" t="n"/>
      <c r="F53" s="6" t="n"/>
      <c r="G53" s="6" t="n"/>
      <c r="H53" s="6" t="n"/>
      <c r="I53" s="7" t="n"/>
      <c r="J53" s="8" t="n"/>
      <c r="K53" s="5" t="n"/>
      <c r="L53" s="5" t="n"/>
      <c r="M53" s="6">
        <f>IF(E53=0,"",F53/E53)</f>
        <v/>
      </c>
      <c r="N53" s="16">
        <f>IF(I53="","",I53-TODAY())</f>
        <v/>
      </c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  <c r="I54" s="7" t="n"/>
      <c r="J54" s="8" t="n"/>
      <c r="K54" s="5" t="n"/>
      <c r="L54" s="5" t="n"/>
      <c r="M54" s="6">
        <f>IF(E54=0,"",F54/E54)</f>
        <v/>
      </c>
      <c r="N54" s="16">
        <f>IF(I54="","",I54-TODAY())</f>
        <v/>
      </c>
    </row>
    <row r="55">
      <c r="A55" s="5" t="n"/>
      <c r="B55" s="5" t="n"/>
      <c r="C55" s="5" t="n"/>
      <c r="D55" s="5" t="n"/>
      <c r="E55" s="5" t="n"/>
      <c r="F55" s="6" t="n"/>
      <c r="G55" s="6" t="n"/>
      <c r="H55" s="6" t="n"/>
      <c r="I55" s="7" t="n"/>
      <c r="J55" s="8" t="n"/>
      <c r="K55" s="5" t="n"/>
      <c r="L55" s="5" t="n"/>
      <c r="M55" s="6">
        <f>IF(E55=0,"",F55/E55)</f>
        <v/>
      </c>
      <c r="N55" s="16">
        <f>IF(I55="","",I55-TODAY())</f>
        <v/>
      </c>
    </row>
    <row r="57" ht="20" customHeight="1">
      <c r="A57" s="9" t="inlineStr">
        <is>
          <t>TOTAL A RECEBER</t>
        </is>
      </c>
      <c r="B57" s="17" t="n"/>
      <c r="C57" s="17" t="n"/>
      <c r="D57" s="17" t="n"/>
      <c r="E57" s="18" t="n"/>
      <c r="F57" s="10">
        <f>SUM(F6:F55)</f>
        <v/>
      </c>
      <c r="G57" s="10">
        <f>SUM(G6:G55)</f>
        <v/>
      </c>
      <c r="H57" s="10">
        <f>SUM(H6:H55)</f>
        <v/>
      </c>
    </row>
  </sheetData>
  <mergeCells count="4">
    <mergeCell ref="C2:L2"/>
    <mergeCell ref="A1:B3"/>
    <mergeCell ref="C1:L1"/>
    <mergeCell ref="A57:E57"/>
  </mergeCells>
  <dataValidations count="5">
    <dataValidation sqref="J6:J55" showDropDown="0" showInputMessage="0" showErrorMessage="0" allowBlank="1" errorTitle="Entrada Inválida" error="Selecione: Pendente, Recebido, Atrasado ou Cancelado" type="list">
      <formula1>"Pendente,Recebido,Atrasado,Cancelado"</formula1>
    </dataValidation>
    <dataValidation sqref="E6:E55" showDropDown="0" showInputMessage="0" showErrorMessage="0" allowBlank="1" errorTitle="Quantidade Inválida" error="A quantidade deve estar entre 1 e 12" type="custom">
      <formula1>=AND(E6&gt;0,E6&lt;=12)</formula1>
    </dataValidation>
    <dataValidation sqref="F6:F55" showDropDown="0" showInputMessage="0" showErrorMessage="0" allowBlank="1" errorTitle="Valor Inválido" error="O valor deve ser maior que zero" type="custom">
      <formula1>=F6&gt;0</formula1>
    </dataValidation>
    <dataValidation sqref="I6:I55" showDropDown="0" showInputMessage="0" showErrorMessage="0" allowBlank="1" errorTitle="Data Inválida" error="A data não pode ser anterior a hoje" type="custom">
      <formula1>=I6&gt;=TODAY()</formula1>
    </dataValidation>
    <dataValidation sqref="J6:J55" showDropDown="0" showInputMessage="0" showErrorMessage="0" allowBlank="1" errorTitle="Status Inválido" error="Selecione: Pendente, Recebido, Atrasado ou Cancelado" type="list">
      <formula1>"Pendente,Recebido,Atrasado,Cancelado"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1" t="inlineStr">
        <is>
          <t>RELATÓRIOS - RECEBIMENTOS</t>
        </is>
      </c>
    </row>
    <row r="3">
      <c r="A3" s="12" t="inlineStr">
        <is>
          <t>Total a Receber:</t>
        </is>
      </c>
      <c r="B3" s="13">
        <f>'Recebimentos'!F57</f>
        <v/>
      </c>
    </row>
    <row r="4">
      <c r="A4" s="12" t="inlineStr">
        <is>
          <t>Total Recebido:</t>
        </is>
      </c>
      <c r="B4" s="13">
        <f>SUMIF('Recebimentos'!J:J,"Recebido",'Recebimentos'!F:F)</f>
        <v/>
      </c>
    </row>
    <row r="5">
      <c r="A5" s="12" t="inlineStr">
        <is>
          <t>Total Pendente:</t>
        </is>
      </c>
      <c r="B5" s="13">
        <f>SUMIF('Recebimentos'!J:J,"Pendente",'Recebimentos'!F:F)</f>
        <v/>
      </c>
    </row>
    <row r="6">
      <c r="A6" s="12" t="inlineStr">
        <is>
          <t>Total Atrasado:</t>
        </is>
      </c>
      <c r="B6" s="13">
        <f>SUMIF('Recebimentos'!J:J,"Atrasado",'Recebimentos'!F:F)</f>
        <v/>
      </c>
    </row>
    <row r="7">
      <c r="A7" s="12" t="inlineStr">
        <is>
          <t>Total Equipamentos:</t>
        </is>
      </c>
      <c r="B7" s="13">
        <f>'Recebimentos'!G57</f>
        <v/>
      </c>
    </row>
    <row r="8">
      <c r="A8" s="12" t="inlineStr">
        <is>
          <t>Total Serviços:</t>
        </is>
      </c>
      <c r="B8" s="13">
        <f>'Recebimentos'!H57</f>
        <v/>
      </c>
    </row>
    <row r="9">
      <c r="A9" s="12" t="inlineStr">
        <is>
          <t>Quantidade de Registros:</t>
        </is>
      </c>
      <c r="B9" s="14">
        <f>COUNTA('Recebimentos'!B6:B55)</f>
        <v/>
      </c>
    </row>
    <row r="11">
      <c r="A11" s="19" t="inlineStr">
        <is>
          <t>ANÁLISE POR STATUS</t>
        </is>
      </c>
    </row>
    <row r="12">
      <c r="A12" s="12" t="inlineStr">
        <is>
          <t>Quantidade Pendente:</t>
        </is>
      </c>
      <c r="B12" s="14">
        <f>COUNTIF('Recebimentos'!J:J,"Pendente")</f>
        <v/>
      </c>
    </row>
    <row r="13">
      <c r="A13" s="12" t="inlineStr">
        <is>
          <t>Quantidade Recebido:</t>
        </is>
      </c>
      <c r="B13" s="14">
        <f>COUNTIF('Recebimentos'!J:J,"Recebido")</f>
        <v/>
      </c>
    </row>
    <row r="14">
      <c r="A14" s="12" t="inlineStr">
        <is>
          <t>Quantidade Atrasado:</t>
        </is>
      </c>
      <c r="B14" s="14">
        <f>COUNTIF('Recebimentos'!J:J,"Atrasado")</f>
        <v/>
      </c>
    </row>
    <row r="15">
      <c r="A15" s="12" t="inlineStr">
        <is>
          <t>Quantidade Cancelado:</t>
        </is>
      </c>
      <c r="B15" s="14">
        <f>COUNTIF('Recebimentos'!J:J,"Cancelado")</f>
        <v/>
      </c>
    </row>
    <row r="16">
      <c r="A16" s="12" t="n"/>
      <c r="B16" s="14" t="n"/>
    </row>
    <row r="17">
      <c r="A17" s="20" t="inlineStr">
        <is>
          <t>COMPOSIÇÃO DO FATURAMENTO</t>
        </is>
      </c>
      <c r="B17" s="14" t="n"/>
    </row>
    <row r="18">
      <c r="A18" s="12" t="inlineStr">
        <is>
          <t>% Equipamentos:</t>
        </is>
      </c>
      <c r="B18" s="21">
        <f>IF('Recebimentos'!F57=0,0,'Recebimentos'!G57/'Recebimentos'!F57)</f>
        <v/>
      </c>
    </row>
    <row r="19">
      <c r="A19" s="12" t="inlineStr">
        <is>
          <t>% Serviços:</t>
        </is>
      </c>
      <c r="B19" s="21">
        <f>IF('Recebimentos'!F57=0,0,'Recebimentos'!H57/'Recebimentos'!F57)</f>
        <v/>
      </c>
    </row>
    <row r="20">
      <c r="A20" s="12" t="n"/>
      <c r="B20" s="14" t="n"/>
    </row>
    <row r="21">
      <c r="A21" s="20" t="inlineStr">
        <is>
          <t>ANÁLISE DE RECEBIMENTOS</t>
        </is>
      </c>
      <c r="B21" s="14" t="n"/>
    </row>
    <row r="22">
      <c r="A22" s="12" t="inlineStr">
        <is>
          <t>Taxa de Recebimento:</t>
        </is>
      </c>
      <c r="B22" s="21">
        <f>IF('Recebimentos'!F57=0,0,'Recebimentos'!B4/'Recebimentos'!F57)</f>
        <v/>
      </c>
    </row>
    <row r="23">
      <c r="A23" s="12" t="inlineStr">
        <is>
          <t>Valor Médio por Contrato:</t>
        </is>
      </c>
      <c r="B23" s="13">
        <f>IF(COUNTA('Recebimentos'!B6:B55)=0,0,'Recebimentos'!F57/COUNTA('Recebimentos'!B6:B55))</f>
        <v/>
      </c>
    </row>
    <row r="24">
      <c r="A24" s="12" t="inlineStr">
        <is>
          <t>Valor Médio por Parcela:</t>
        </is>
      </c>
      <c r="B24" s="13">
        <f>IF(SUM('Recebimentos'!E6:E55)=0,0,'Recebimentos'!F57/SUM('Recebimentos'!E6:E55))</f>
        <v/>
      </c>
    </row>
  </sheetData>
  <mergeCells count="4">
    <mergeCell ref="A21:B21"/>
    <mergeCell ref="A11:B11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2026-03-02T03:42:18Z</dcterms:created>
  <dcterms:modified xmlns:dcterms="http://purl.org/dc/terms/" xmlns:xsi="http://www.w3.org/2001/XMLSchema-instance" xsi:type="dcterms:W3CDTF">2026-03-02T03:42:58Z</dcterms:modified>
</cp:coreProperties>
</file>