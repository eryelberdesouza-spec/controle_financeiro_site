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álise Temporal" sheetId="2" state="visible" r:id="rId2"/>
    <sheet xmlns:r="http://schemas.openxmlformats.org/officeDocument/2006/relationships" name="Guia de U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Calibri"/>
      <i val="1"/>
      <color rgb="00999999"/>
      <sz val="9"/>
    </font>
    <font>
      <name val="Calibri"/>
      <b val="1"/>
      <color rgb="001F4E78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0"/>
    </font>
    <font>
      <name val="Calibri"/>
      <b val="1"/>
      <color rgb="00FFFFFF"/>
      <sz val="10"/>
    </font>
    <font>
      <name val="Calibri"/>
      <b val="1"/>
      <color rgb="001F4E78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1" pivotButton="0" quotePrefix="0" xfId="0"/>
    <xf numFmtId="0" fontId="4" fillId="4" borderId="0" applyAlignment="1" pivotButton="0" quotePrefix="0" xfId="0">
      <alignment horizontal="center" vertical="center"/>
    </xf>
    <xf numFmtId="164" fontId="5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6" fillId="0" borderId="0" pivotButton="0" quotePrefix="0" xfId="0"/>
    <xf numFmtId="0" fontId="5" fillId="4" borderId="0" applyAlignment="1" pivotButton="0" quotePrefix="0" xfId="0">
      <alignment horizontal="center" vertical="center"/>
    </xf>
    <xf numFmtId="164" fontId="6" fillId="6" borderId="1" pivotButton="0" quotePrefix="0" xfId="0"/>
    <xf numFmtId="0" fontId="6" fillId="6" borderId="1" pivotButton="0" quotePrefix="0" xfId="0"/>
    <xf numFmtId="10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[INSIRA O LOGO AQUI]</t>
        </is>
      </c>
      <c r="C1" s="2" t="inlineStr">
        <is>
          <t>DASHBOARD FINANCEIRO</t>
        </is>
      </c>
    </row>
    <row r="2">
      <c r="C2" s="3" t="inlineStr">
        <is>
          <t>Período: March/2026</t>
        </is>
      </c>
    </row>
    <row r="3"/>
    <row r="5">
      <c r="B5" s="4" t="inlineStr">
        <is>
          <t>PAGAMENTOS</t>
        </is>
      </c>
      <c r="D5" s="5" t="inlineStr">
        <is>
          <t>RECEBIMENTOS</t>
        </is>
      </c>
    </row>
    <row r="6">
      <c r="B6" s="6" t="inlineStr">
        <is>
          <t>Total de Pagamentos:</t>
        </is>
      </c>
      <c r="C6" s="7">
        <f>IFERROR('Controle_Pagamentos.xlsx'!Pagamentos!H57,0)</f>
        <v/>
      </c>
      <c r="D6" s="6" t="inlineStr">
        <is>
          <t>Total a Receber:</t>
        </is>
      </c>
      <c r="E6" s="7">
        <f>IFERROR('Controle_Recebimentos.xlsx'!Recebimentos!F57,0)</f>
        <v/>
      </c>
    </row>
    <row r="7">
      <c r="B7" s="6" t="inlineStr">
        <is>
          <t>Pagamentos Realizados:</t>
        </is>
      </c>
      <c r="C7" s="7">
        <f>IFERROR(SUMIF('Controle_Pagamentos.xlsx'!Pagamentos!J:J,"Pago",'Controle_Pagamentos.xlsx'!Pagamentos!H:H),0)</f>
        <v/>
      </c>
      <c r="D7" s="6" t="inlineStr">
        <is>
          <t>Total Recebido:</t>
        </is>
      </c>
      <c r="E7" s="7">
        <f>IFERROR(SUMIF('Controle_Recebimentos.xlsx'!Recebimentos!J:J,"Recebido",'Controle_Recebimentos.xlsx'!Recebimentos!F:F),0)</f>
        <v/>
      </c>
    </row>
    <row r="8">
      <c r="B8" s="6" t="inlineStr">
        <is>
          <t>Pagamentos Pendentes:</t>
        </is>
      </c>
      <c r="C8" s="7">
        <f>IFERROR(SUMIF('Controle_Pagamentos.xlsx'!Pagamentos!J:J,"Pendente",'Controle_Pagamentos.xlsx'!Pagamentos!H:H),0)</f>
        <v/>
      </c>
      <c r="D8" s="6" t="inlineStr">
        <is>
          <t>Total Pendente:</t>
        </is>
      </c>
      <c r="E8" s="7">
        <f>IFERROR(SUMIF('Controle_Recebimentos.xlsx'!Recebimentos!J:J,"Pendente",'Controle_Recebimentos.xlsx'!Recebimentos!F:F),0)</f>
        <v/>
      </c>
    </row>
    <row r="11">
      <c r="B11" s="8" t="inlineStr">
        <is>
          <t>RESUMO GERAL</t>
        </is>
      </c>
    </row>
    <row r="12">
      <c r="B12" t="inlineStr">
        <is>
          <t>Fluxo de Caixa (Recebimentos - Pagamentos):</t>
        </is>
      </c>
      <c r="C12" s="9">
        <f>E6-C6</f>
        <v/>
      </c>
    </row>
    <row r="13">
      <c r="B13" t="inlineStr">
        <is>
          <t>Saldo Positivo:</t>
        </is>
      </c>
      <c r="C13" s="10">
        <f>IF(C12&gt;0,C12,0)</f>
        <v/>
      </c>
    </row>
    <row r="14">
      <c r="B14" t="inlineStr">
        <is>
          <t>Saldo Negativo:</t>
        </is>
      </c>
      <c r="C14" s="11">
        <f>IF(C12&lt;0,C12,0)</f>
        <v/>
      </c>
    </row>
    <row r="16">
      <c r="B16" s="8" t="inlineStr">
        <is>
          <t>FLUXO DE CAIXA DETALHADO</t>
        </is>
      </c>
    </row>
    <row r="17">
      <c r="B17" s="6" t="inlineStr">
        <is>
          <t>Recebimentos Esperados:</t>
        </is>
      </c>
      <c r="C17" s="7">
        <f>IFERROR(SUMIF('Controle_Recebimentos.xlsx'!Recebimentos!J:J,"Pendente",'Controle_Recebimentos.xlsx'!Recebimentos!F:F),0)</f>
        <v/>
      </c>
    </row>
    <row r="18">
      <c r="B18" s="6" t="inlineStr">
        <is>
          <t>Pagamentos Esperados:</t>
        </is>
      </c>
      <c r="C18" s="7">
        <f>IFERROR(SUMIF('Controle_Pagamentos.xlsx'!Pagamentos!J:J,"Pendente",'Controle_Pagamentos.xlsx'!Pagamentos!H:H),0)</f>
        <v/>
      </c>
    </row>
    <row r="19">
      <c r="B19" s="6" t="inlineStr">
        <is>
          <t>Diferença (Recebimentos - Pagamentos):</t>
        </is>
      </c>
      <c r="C19" s="7">
        <f>C17-C18</f>
        <v/>
      </c>
    </row>
    <row r="20">
      <c r="B20" s="6" t="n"/>
      <c r="C20" s="12" t="n"/>
    </row>
    <row r="21">
      <c r="B21" s="13" t="inlineStr">
        <is>
          <t>ANÁLISE DE ATRASOS</t>
        </is>
      </c>
      <c r="C21" s="12" t="n"/>
    </row>
    <row r="22">
      <c r="B22" s="6" t="inlineStr">
        <is>
          <t>Recebimentos Atrasados:</t>
        </is>
      </c>
      <c r="C22" s="14">
        <f>IFERROR(SUMIF('Controle_Recebimentos.xlsx'!Recebimentos!J:J,"Atrasado",'Controle_Recebimentos.xlsx'!Recebimentos!F:F),0)</f>
        <v/>
      </c>
    </row>
    <row r="23">
      <c r="B23" s="6" t="inlineStr">
        <is>
          <t>Quantidade de Recebimentos Atrasados:</t>
        </is>
      </c>
      <c r="C23" s="15">
        <f>IFERROR(COUNTIF('Controle_Recebimentos.xlsx'!Recebimentos!J:J,"Atrasado"),0)</f>
        <v/>
      </c>
    </row>
    <row r="24">
      <c r="B24" s="6" t="n"/>
      <c r="C24" s="12" t="n"/>
    </row>
    <row r="25">
      <c r="B25" s="13" t="inlineStr">
        <is>
          <t>COMPOSIÇÃO DO FATURAMENTO</t>
        </is>
      </c>
      <c r="C25" s="12" t="n"/>
    </row>
    <row r="26">
      <c r="B26" s="6" t="inlineStr">
        <is>
          <t>Total de Equipamentos:</t>
        </is>
      </c>
      <c r="C26" s="7">
        <f>IFERROR('Controle_Recebimentos.xlsx'!Recebimentos!G57,0)</f>
        <v/>
      </c>
    </row>
    <row r="27">
      <c r="B27" s="6" t="inlineStr">
        <is>
          <t>Total de Serviços:</t>
        </is>
      </c>
      <c r="C27" s="7">
        <f>IFERROR('Controle_Recebimentos.xlsx'!Recebimentos!H57,0)</f>
        <v/>
      </c>
    </row>
    <row r="28">
      <c r="B28" s="6" t="inlineStr">
        <is>
          <t>% Equipamentos:</t>
        </is>
      </c>
      <c r="C28" s="16">
        <f>IF('Controle_Recebimentos.xlsx'!Recebimentos!F57=0,0,C26/'Controle_Recebimentos.xlsx'!Recebimentos!F57)</f>
        <v/>
      </c>
    </row>
    <row r="29">
      <c r="B29" s="6" t="inlineStr">
        <is>
          <t>% Serviços:</t>
        </is>
      </c>
      <c r="C29" s="16">
        <f>IF('Controle_Recebimentos.xlsx'!Recebimentos!F57=0,0,C27/'Controle_Recebimentos.xlsx'!Recebimentos!F57)</f>
        <v/>
      </c>
    </row>
    <row r="30">
      <c r="B30" s="6" t="n"/>
      <c r="C30" s="12" t="n"/>
    </row>
    <row r="31">
      <c r="B31" s="13" t="inlineStr">
        <is>
          <t>INDICADORES-CHAVE (KPIs)</t>
        </is>
      </c>
      <c r="C31" s="12" t="n"/>
    </row>
    <row r="32">
      <c r="B32" s="6" t="inlineStr">
        <is>
          <t>Taxa de Recebimento:</t>
        </is>
      </c>
      <c r="C32" s="16">
        <f>IFERROR(SUMIF('Controle_Recebimentos.xlsx'!Recebimentos!J:J,"Recebido",'Controle_Recebimentos.xlsx'!Recebimentos!F:F)/'Controle_Recebimentos.xlsx'!Recebimentos!F57,0)</f>
        <v/>
      </c>
    </row>
    <row r="33">
      <c r="B33" s="6" t="inlineStr">
        <is>
          <t>Ticket Médio de Recebimento:</t>
        </is>
      </c>
      <c r="C33" s="7">
        <f>IFERROR('Controle_Recebimentos.xlsx'!Recebimentos!F57/COUNTA('Controle_Recebimentos.xlsx'!Recebimentos!B6:B55),0)</f>
        <v/>
      </c>
    </row>
    <row r="34">
      <c r="B34" s="6" t="inlineStr">
        <is>
          <t>Ticket Médio de Pagamento:</t>
        </is>
      </c>
      <c r="C34" s="7">
        <f>IFERROR('Controle_Pagamentos.xlsx'!Pagamentos!H57/COUNTA('Controle_Pagamentos.xlsx'!Pagamentos!B6:B55),0)</f>
        <v/>
      </c>
    </row>
    <row r="35">
      <c r="B35" s="6" t="inlineStr">
        <is>
          <t>Quantidade Total de Transações:</t>
        </is>
      </c>
      <c r="C35" s="17">
        <f>COUNTA('Controle_Recebimentos.xlsx'!Recebimentos!B6:B55)+COUNTA('Controle_Pagamentos.xlsx'!Pagamentos!B6:B55)</f>
        <v/>
      </c>
    </row>
  </sheetData>
  <mergeCells count="10">
    <mergeCell ref="C2:E2"/>
    <mergeCell ref="B31:E31"/>
    <mergeCell ref="C1:E1"/>
    <mergeCell ref="B5:C5"/>
    <mergeCell ref="D5:E5"/>
    <mergeCell ref="B16:E16"/>
    <mergeCell ref="B21:E21"/>
    <mergeCell ref="B11:E11"/>
    <mergeCell ref="B25:E25"/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[INSIRA O LOGO AQUI]</t>
        </is>
      </c>
      <c r="C1" s="2" t="inlineStr">
        <is>
          <t>ANÁLISE TEMPORAL</t>
        </is>
      </c>
    </row>
    <row r="2">
      <c r="C2" s="3" t="inlineStr">
        <is>
          <t>Comparativo de períodos</t>
        </is>
      </c>
    </row>
    <row r="3"/>
    <row r="5">
      <c r="B5" s="18" t="inlineStr">
        <is>
          <t>INSTRUÇÕES DE USO:</t>
        </is>
      </c>
    </row>
    <row r="6">
      <c r="B6" t="inlineStr">
        <is>
          <t>1. Esta aba é para análise de dados históricos</t>
        </is>
      </c>
    </row>
    <row r="7">
      <c r="B7" t="inlineStr">
        <is>
          <t>2. Copie dados de períodos anteriores para comparação</t>
        </is>
      </c>
    </row>
    <row r="8">
      <c r="B8" t="inlineStr">
        <is>
          <t>3. Use as fórmulas abaixo para calcular variações</t>
        </is>
      </c>
    </row>
    <row r="10">
      <c r="B10" s="8" t="inlineStr">
        <is>
          <t>COMPARATIVO DE PERÍODOS</t>
        </is>
      </c>
    </row>
    <row r="11">
      <c r="B11" s="19" t="inlineStr">
        <is>
          <t>Métrica</t>
        </is>
      </c>
      <c r="C11" s="19" t="inlineStr">
        <is>
          <t>Período Atual</t>
        </is>
      </c>
      <c r="D11" s="19" t="inlineStr">
        <is>
          <t>Período Anterior</t>
        </is>
      </c>
      <c r="E11" s="19" t="inlineStr">
        <is>
          <t>Variação</t>
        </is>
      </c>
    </row>
    <row r="12">
      <c r="B12" s="20" t="inlineStr">
        <is>
          <t>Total Recebimentos</t>
        </is>
      </c>
      <c r="C12" s="21" t="n"/>
      <c r="D12" s="21" t="n"/>
      <c r="E12" s="21" t="n"/>
    </row>
    <row r="13">
      <c r="B13" s="20" t="inlineStr">
        <is>
          <t>Total Pagamentos</t>
        </is>
      </c>
      <c r="C13" s="21" t="n"/>
      <c r="D13" s="21" t="n"/>
      <c r="E13" s="21" t="n"/>
    </row>
    <row r="14">
      <c r="B14" s="20" t="inlineStr">
        <is>
          <t>Fluxo Líquido</t>
        </is>
      </c>
      <c r="C14" s="21" t="n"/>
      <c r="D14" s="21" t="n"/>
      <c r="E14" s="21" t="n"/>
    </row>
    <row r="15">
      <c r="B15" s="20" t="inlineStr">
        <is>
          <t>Recebimentos Atrasados</t>
        </is>
      </c>
      <c r="C15" s="21" t="n"/>
      <c r="D15" s="21" t="n"/>
      <c r="E15" s="21" t="n"/>
    </row>
  </sheetData>
  <mergeCells count="4">
    <mergeCell ref="C2:E2"/>
    <mergeCell ref="B10:E10"/>
    <mergeCell ref="C1:E1"/>
    <mergeCell ref="A1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4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22" t="inlineStr">
        <is>
          <t>GUIA DE USO - SISTEMA DE CONTROLE FINANCEIRO</t>
        </is>
      </c>
    </row>
    <row r="2"/>
    <row r="3"/>
    <row r="5" ht="20" customHeight="1">
      <c r="B5" s="23" t="inlineStr">
        <is>
          <t>COMO USAR ESTA PLANILHA</t>
        </is>
      </c>
    </row>
    <row r="6" ht="20" customHeight="1">
      <c r="B6" s="24" t="inlineStr"/>
    </row>
    <row r="7" ht="20" customHeight="1">
      <c r="B7" s="25" t="inlineStr">
        <is>
          <t>1. INSERIR LOGO - Clique na célula com texto '[INSIRA O LOGO AQUI]' em cada aba e insira sua imagem de logo.</t>
        </is>
      </c>
    </row>
    <row r="8" ht="20" customHeight="1">
      <c r="B8" s="24" t="inlineStr"/>
    </row>
    <row r="9" ht="20" customHeight="1">
      <c r="B9" s="25" t="inlineStr">
        <is>
          <t>2. PLANILHA DE PAGAMENTOS</t>
        </is>
      </c>
    </row>
    <row r="10" ht="20" customHeight="1">
      <c r="B10" s="26" t="inlineStr">
        <is>
          <t xml:space="preserve">   - Nome Completo: Digite o nome completo do beneficiário</t>
        </is>
      </c>
    </row>
    <row r="11" ht="20" customHeight="1">
      <c r="B11" s="26" t="inlineStr">
        <is>
          <t xml:space="preserve">   - CPF: Digite 11 dígitos (validação automática)</t>
        </is>
      </c>
    </row>
    <row r="12" ht="20" customHeight="1">
      <c r="B12" s="26" t="inlineStr">
        <is>
          <t xml:space="preserve">   - Banco: Selecione da lista suspensa</t>
        </is>
      </c>
    </row>
    <row r="13" ht="20" customHeight="1">
      <c r="B13" s="26" t="inlineStr">
        <is>
          <t xml:space="preserve">   - Chave Pix: Digite a chave Pix (CPF, email, telefone ou aleatória)</t>
        </is>
      </c>
    </row>
    <row r="14" ht="20" customHeight="1">
      <c r="B14" s="26" t="inlineStr">
        <is>
          <t xml:space="preserve">   - Tipo de Serviço: Selecione da lista suspensa</t>
        </is>
      </c>
    </row>
    <row r="15" ht="20" customHeight="1">
      <c r="B15" s="26" t="inlineStr">
        <is>
          <t xml:space="preserve">   - Centro de Custo: Selecione da lista suspensa</t>
        </is>
      </c>
    </row>
    <row r="16" ht="20" customHeight="1">
      <c r="B16" s="26" t="inlineStr">
        <is>
          <t xml:space="preserve">   - Valor: Digite o valor (deve ser positivo)</t>
        </is>
      </c>
    </row>
    <row r="17" ht="20" customHeight="1">
      <c r="B17" s="26" t="inlineStr">
        <is>
          <t xml:space="preserve">   - Data Pagamento: Digite a data (não pode ser anterior a hoje)</t>
        </is>
      </c>
    </row>
    <row r="18" ht="20" customHeight="1">
      <c r="B18" s="26" t="inlineStr">
        <is>
          <t xml:space="preserve">   - Status: Selecione: Pendente, Processando, Pago ou Cancelado</t>
        </is>
      </c>
    </row>
    <row r="19" ht="20" customHeight="1">
      <c r="B19" s="24" t="inlineStr"/>
    </row>
    <row r="20" ht="20" customHeight="1">
      <c r="B20" s="25" t="inlineStr">
        <is>
          <t>3. PLANILHA DE RECEBIMENTOS</t>
        </is>
      </c>
    </row>
    <row r="21" ht="20" customHeight="1">
      <c r="B21" s="26" t="inlineStr">
        <is>
          <t xml:space="preserve">   - Nº Contrato: Digite o número do contrato</t>
        </is>
      </c>
    </row>
    <row r="22" ht="20" customHeight="1">
      <c r="B22" s="26" t="inlineStr">
        <is>
          <t xml:space="preserve">   - Nome/Razão Social: Digite o nome do cliente ou empresa</t>
        </is>
      </c>
    </row>
    <row r="23" ht="20" customHeight="1">
      <c r="B23" s="26" t="inlineStr">
        <is>
          <t xml:space="preserve">   - Qtd Parcelas: Digite entre 1 e 12</t>
        </is>
      </c>
    </row>
    <row r="24" ht="20" customHeight="1">
      <c r="B24" s="26" t="inlineStr">
        <is>
          <t xml:space="preserve">   - Parcela: Digite o número da parcela atual</t>
        </is>
      </c>
    </row>
    <row r="25" ht="20" customHeight="1">
      <c r="B25" s="26" t="inlineStr">
        <is>
          <t xml:space="preserve">   - Valores: Digite os valores (serão calculados automaticamente por parcela)</t>
        </is>
      </c>
    </row>
    <row r="26" ht="20" customHeight="1">
      <c r="B26" s="26" t="inlineStr">
        <is>
          <t xml:space="preserve">   - Data Vencimento: Digite a data de vencimento</t>
        </is>
      </c>
    </row>
    <row r="27" ht="20" customHeight="1">
      <c r="B27" s="26" t="inlineStr">
        <is>
          <t xml:space="preserve">   - Status: Selecione: Pendente, Recebido, Atrasado ou Cancelado</t>
        </is>
      </c>
    </row>
    <row r="28" ht="20" customHeight="1">
      <c r="B28" s="24" t="inlineStr"/>
    </row>
    <row r="29" ht="20" customHeight="1">
      <c r="B29" s="25" t="inlineStr">
        <is>
          <t>4. DASHBOARD</t>
        </is>
      </c>
    </row>
    <row r="30" ht="20" customHeight="1">
      <c r="B30" s="26" t="inlineStr">
        <is>
          <t xml:space="preserve">   - Visualiza automaticamente os totais de ambas as planilhas</t>
        </is>
      </c>
    </row>
    <row r="31" ht="20" customHeight="1">
      <c r="B31" s="26" t="inlineStr">
        <is>
          <t xml:space="preserve">   - Mostra fluxo de caixa consolidado</t>
        </is>
      </c>
    </row>
    <row r="32" ht="20" customHeight="1">
      <c r="B32" s="26" t="inlineStr">
        <is>
          <t xml:space="preserve">   - Exibe indicadores-chave de desempenho</t>
        </is>
      </c>
    </row>
    <row r="33" ht="20" customHeight="1">
      <c r="B33" s="24" t="inlineStr"/>
    </row>
    <row r="34" ht="20" customHeight="1">
      <c r="B34" s="25" t="inlineStr">
        <is>
          <t>5. RELATÓRIOS</t>
        </is>
      </c>
    </row>
    <row r="35" ht="20" customHeight="1">
      <c r="B35" s="26" t="inlineStr">
        <is>
          <t xml:space="preserve">   - Cada aba de dados possui uma aba 'Relatórios' com análises automáticas</t>
        </is>
      </c>
    </row>
    <row r="36" ht="20" customHeight="1">
      <c r="B36" s="26" t="inlineStr">
        <is>
          <t xml:space="preserve">   - Os dados são atualizados automaticamente ao preencher as planilhas</t>
        </is>
      </c>
    </row>
    <row r="37" ht="20" customHeight="1">
      <c r="B37" s="24" t="inlineStr"/>
    </row>
    <row r="38" ht="20" customHeight="1">
      <c r="B38" s="23" t="inlineStr">
        <is>
          <t>DICAS IMPORTANTES</t>
        </is>
      </c>
    </row>
    <row r="39" ht="20" customHeight="1">
      <c r="B39" s="26" t="inlineStr">
        <is>
          <t xml:space="preserve">   ✓ Mantenha a estrutura das colunas (não delete ou mova)</t>
        </is>
      </c>
    </row>
    <row r="40" ht="20" customHeight="1">
      <c r="B40" s="26" t="inlineStr">
        <is>
          <t xml:space="preserve">   ✓ Use as validações de dados para evitar erros</t>
        </is>
      </c>
    </row>
    <row r="41" ht="20" customHeight="1">
      <c r="B41" s="26" t="inlineStr">
        <is>
          <t xml:space="preserve">   ✓ Faça backup regularmente</t>
        </is>
      </c>
    </row>
    <row r="42" ht="20" customHeight="1">
      <c r="B42" s="26" t="inlineStr">
        <is>
          <t xml:space="preserve">   ✓ Não modifique as fórmulas nas abas de Relatórios</t>
        </is>
      </c>
    </row>
    <row r="43" ht="20" customHeight="1">
      <c r="B43" s="24" t="inlineStr"/>
    </row>
    <row r="44" ht="20" customHeight="1">
      <c r="B44" s="24" t="inlineStr">
        <is>
          <t>SUPORTE - Para dúvidas, consulte os exemplos ou contate o administrador do sistema.</t>
        </is>
      </c>
    </row>
  </sheetData>
  <mergeCells count="1">
    <mergeCell ref="B1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2026-03-02T03:42:18Z</dcterms:created>
  <dcterms:modified xmlns:dcterms="http://purl.org/dc/terms/" xmlns:xsi="http://www.w3.org/2001/XMLSchema-instance" xsi:type="dcterms:W3CDTF">2026-03-02T03:43:50Z</dcterms:modified>
</cp:coreProperties>
</file>